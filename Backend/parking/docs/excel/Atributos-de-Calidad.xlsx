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fcde472e41c3771/Documentos/Software ll/docs/excel/"/>
    </mc:Choice>
  </mc:AlternateContent>
  <xr:revisionPtr revIDLastSave="339" documentId="8_{9D42DB65-1932-46DB-AF70-6F3814B2E387}" xr6:coauthVersionLast="47" xr6:coauthVersionMax="47" xr10:uidLastSave="{4232C073-C4B1-4C53-9403-EDB716BDD956}"/>
  <bookViews>
    <workbookView xWindow="-108" yWindow="-108" windowWidth="23256" windowHeight="12456" firstSheet="1" activeTab="5" xr2:uid="{E3232D58-6B5C-4D89-B97F-DAE297DDB214}"/>
  </bookViews>
  <sheets>
    <sheet name="Trade-off" sheetId="1" r:id="rId1"/>
    <sheet name="Mapa de Empatía" sheetId="2" r:id="rId2"/>
    <sheet name="Listado de Características" sheetId="5" r:id="rId3"/>
    <sheet name="Primera Ronda" sheetId="11" r:id="rId4"/>
    <sheet name="Segunda Ronda" sheetId="12" r:id="rId5"/>
    <sheet name="Prioritarios" sheetId="1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1" l="1"/>
  <c r="H13" i="11"/>
  <c r="I13" i="11"/>
  <c r="F13" i="11"/>
  <c r="J12" i="11"/>
  <c r="G2" i="2"/>
  <c r="H2" i="2"/>
  <c r="I2" i="2"/>
  <c r="G3" i="2"/>
  <c r="H3" i="2"/>
  <c r="H9" i="2" s="1"/>
  <c r="I3" i="2"/>
  <c r="G4" i="2"/>
  <c r="H4" i="2"/>
  <c r="I4" i="2"/>
  <c r="G5" i="2"/>
  <c r="H5" i="2"/>
  <c r="I5" i="2"/>
  <c r="G6" i="2"/>
  <c r="H6" i="2"/>
  <c r="I6" i="2"/>
  <c r="G7" i="2"/>
  <c r="H7" i="2"/>
  <c r="I7" i="2"/>
  <c r="G8" i="2"/>
  <c r="H8" i="2"/>
  <c r="I8" i="2"/>
  <c r="F3" i="2"/>
  <c r="F4" i="2"/>
  <c r="F5" i="2"/>
  <c r="J5" i="2" s="1"/>
  <c r="F6" i="2"/>
  <c r="F7" i="2"/>
  <c r="F8" i="2"/>
  <c r="F2" i="2"/>
  <c r="I11" i="12"/>
  <c r="H11" i="12"/>
  <c r="G11" i="12"/>
  <c r="F11" i="12"/>
  <c r="J10" i="12"/>
  <c r="J9" i="12"/>
  <c r="J8" i="12"/>
  <c r="J7" i="12"/>
  <c r="J6" i="12"/>
  <c r="J5" i="12"/>
  <c r="J10" i="11"/>
  <c r="J11" i="11"/>
  <c r="J9" i="11"/>
  <c r="J8" i="11"/>
  <c r="J7" i="11"/>
  <c r="J6" i="11"/>
  <c r="J5" i="11"/>
  <c r="J4" i="11"/>
  <c r="J3" i="11"/>
  <c r="J2" i="11"/>
  <c r="J13" i="11" s="1"/>
  <c r="J7" i="2"/>
  <c r="C9" i="2"/>
  <c r="D9" i="2"/>
  <c r="E9" i="2"/>
  <c r="B9" i="2"/>
  <c r="I9" i="2" l="1"/>
  <c r="G9" i="2"/>
  <c r="F9" i="2"/>
  <c r="J11" i="12"/>
  <c r="J3" i="2"/>
  <c r="J4" i="2"/>
  <c r="J6" i="2"/>
  <c r="J2" i="2"/>
  <c r="J8" i="2"/>
  <c r="J9" i="2" l="1"/>
  <c r="K5" i="2" s="1"/>
  <c r="K2" i="2" l="1"/>
  <c r="K3" i="2"/>
  <c r="K4" i="2"/>
  <c r="K6" i="2"/>
  <c r="K7" i="2"/>
  <c r="K8" i="2"/>
  <c r="K9" i="2" l="1"/>
</calcChain>
</file>

<file path=xl/sharedStrings.xml><?xml version="1.0" encoding="utf-8"?>
<sst xmlns="http://schemas.openxmlformats.org/spreadsheetml/2006/main" count="214" uniqueCount="69">
  <si>
    <t>Atributo de calidad</t>
  </si>
  <si>
    <t>Disponibilidad</t>
  </si>
  <si>
    <t>X</t>
  </si>
  <si>
    <t>Rendimiento</t>
  </si>
  <si>
    <t>Seguridad</t>
  </si>
  <si>
    <t>Costo</t>
  </si>
  <si>
    <t>Confiabilidad</t>
  </si>
  <si>
    <t>Administrabilidad</t>
  </si>
  <si>
    <t>Mantenibilidad</t>
  </si>
  <si>
    <t>&lt;&lt;&lt; Trade-off</t>
  </si>
  <si>
    <t>Atributos de Calidad</t>
  </si>
  <si>
    <t>Operador</t>
  </si>
  <si>
    <t>Administrador</t>
  </si>
  <si>
    <t>Usuario</t>
  </si>
  <si>
    <t>Mantenimiento</t>
  </si>
  <si>
    <t>Operador ponderado</t>
  </si>
  <si>
    <t>Administrdor ponderado</t>
  </si>
  <si>
    <t>Usuario ponderado</t>
  </si>
  <si>
    <t>Mantenimiento ponderado</t>
  </si>
  <si>
    <t xml:space="preserve">Total votos </t>
  </si>
  <si>
    <t xml:space="preserve">Ponderación real </t>
  </si>
  <si>
    <t>&lt;&lt;&lt; Mapa de Empatía</t>
  </si>
  <si>
    <t>Código caracteristicas</t>
  </si>
  <si>
    <t>Descripción de la caracteristica</t>
  </si>
  <si>
    <t>Codido escenario de calidad</t>
  </si>
  <si>
    <t xml:space="preserve">Descripción escenario de calidad </t>
  </si>
  <si>
    <t>CAR-REN-0001</t>
  </si>
  <si>
    <t>El sistema debe asegurar que cada una de las operaciones en las cuales se especifique un tiempo máximo permitido se ejecuten en un tiempo menor o igual a él.</t>
  </si>
  <si>
    <t>ESC-CAL-REN-0001</t>
  </si>
  <si>
    <t>Cada transacción del sistema debe ejecutarse en un tiempo menor o igual al tiempo máximo definido en el matriz de tiempos del sistema.</t>
  </si>
  <si>
    <t>CAR-DIS-0001</t>
  </si>
  <si>
    <t>El sistema debe garantizar su disponibilidad durante el horario de operación del parqueadero, permitiendo que los usuarios puedan acceder a sus funcionalidades siempre que el servicio esté en funcionamiento.</t>
  </si>
  <si>
    <t>ESC-CAL-DIS-0001</t>
  </si>
  <si>
    <t>Durante el horario de operación del parqueadero (por ejemplo de 6:00 a.m. a 10:00 p.m.), el sistema debe mantener una disponibilidad mínima del 95% del tiempo mensual.</t>
  </si>
  <si>
    <t>ESC-CAL-DIS-0002</t>
  </si>
  <si>
    <t>Los mantenimientos del sistema se realizan fuera del horario de operación del parqueadero con el fin de evitar interrumpir el servicio del sistema para los usuarios.</t>
  </si>
  <si>
    <t>CAR-SEG-0001</t>
  </si>
  <si>
    <t>El sistema debe implementar un mecanismo de autenticación que permita verificar la identidad de los usuarios antes de concederles acceso a la aplicación.</t>
  </si>
  <si>
    <t>ESC-CAL-SEG-0001</t>
  </si>
  <si>
    <t>Cuando un usuario intente acceder al sistema con credenciales incorrectas 3 veces, la cuenta debe bloquearse durante 10 minutos.</t>
  </si>
  <si>
    <t>ESC-CAL-SEG-0002</t>
  </si>
  <si>
    <t>Cuando un usuario intente iniciar sesión en el sistema utilizando su usuario y contraseña, el sistema debe validar las credenciales antes de permitir el acceso.</t>
  </si>
  <si>
    <t>CAR-SEG-0003</t>
  </si>
  <si>
    <t>El sistema debe controlar el acceso a sus diferentes módulos y funcionalidades mediante mecanismos de autorización basados en roles o permisos asignados a cada usuario.</t>
  </si>
  <si>
    <t>ESC-CAL-SEG-0003</t>
  </si>
  <si>
    <t>Si un usuario intenta acceder a un módulo sin permisos, el sistema debe bloquear el acceso, mostrar en pantalla la frase "Usuario no autorizado" y devolverlo al módulo donde se encontraba anteriormente.</t>
  </si>
  <si>
    <t>CAR-CONF-0001</t>
  </si>
  <si>
    <t>El sistema debe asegurar que toda la información registrada y almacenada en la aplicación del parqueadero se mantenga completa, consistente y libre de modificaciones no autorizadas durante todo su ciclo de vida.</t>
  </si>
  <si>
    <t>ESC-CAL-CONF-0001</t>
  </si>
  <si>
    <t>Cuando se realice una transacción, los datos rqueridos deben almacenarse manteniendo sus integridad.</t>
  </si>
  <si>
    <t>CAR-MAN-0002</t>
  </si>
  <si>
    <t>El sistema debe permitir la realización de actualizaciones de software de manera controlada y planificada, con el objetivo de incorporar mejoras, correcciones de errores o nuevas funcionalidades sin afectar la estabilidad del sistema ni la integridad de la información almacenada.</t>
  </si>
  <si>
    <t>ESC-CAL-MAN-0001</t>
  </si>
  <si>
    <t>Una actualización del sistema no debe interrumpir el funcionamiento más de 10 minutos.</t>
  </si>
  <si>
    <t>ESC-CAL-MAN-0002</t>
  </si>
  <si>
    <t>Si ocurre un error durante una actualización, el sistema debe permitir revertir los cambios aplicados.</t>
  </si>
  <si>
    <t>CAR-ADM-0001</t>
  </si>
  <si>
    <t>El sistema debe permitir que los administradores gestionen de manera segura y controlada los usuarios que tienen acceso a la aplicación.</t>
  </si>
  <si>
    <t>ESC-CAL-ADM-0001</t>
  </si>
  <si>
    <t>Cuando el administrador gestione los usuarios del sistema, debe poder crear, modificar, desactivar o eliminar usuarios, así como asignar o actualizar roles y permisos, aplicando correctamente los permisos correspondientes a cada rol.</t>
  </si>
  <si>
    <t>CAR-COS-0001</t>
  </si>
  <si>
    <t>El sistema debe optimizar los costos totales de propiedad (TCO), incluyendo desarrollo, implementación, operación y mantenimiento, mediante el uso eficiente de recursos tecnológicos, reutilización de infraestructura existente y una arquitectura que reduzca el impacto económico de cambios futuros.</t>
  </si>
  <si>
    <t>ESC-CAL-COS-0001</t>
  </si>
  <si>
    <t>Durante la implementación o actualización del sistema, cualquier despliegue o ampliación funcional debe realizarse sin incrementar los costos de infraestructura en más del 20% del presupuesto inicial, y sin requerir la adquisición obligatoria de licencias propietarias adicionales.</t>
  </si>
  <si>
    <t>&lt;&lt;&lt; Listado de Características</t>
  </si>
  <si>
    <t>Total</t>
  </si>
  <si>
    <t>código caracteristicas</t>
  </si>
  <si>
    <t>CAR-SEG-0002</t>
  </si>
  <si>
    <t>CAR-MAN-0001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</si>
</sst>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10" fontId="0" fillId="0" borderId="0" xfId="0" applyNumberFormat="1"/>
    <xf numFmtId="9" fontId="0" fillId="8" borderId="1" xfId="1" applyFont="1" applyFill="1" applyBorder="1"/>
    <xf numFmtId="0" fontId="1" fillId="9" borderId="1" xfId="0" applyFont="1" applyFill="1" applyBorder="1"/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6" borderId="1" xfId="0" applyFont="1" applyFill="1" applyBorder="1"/>
    <xf numFmtId="0" fontId="1" fillId="13" borderId="1" xfId="0" applyFont="1" applyFill="1" applyBorder="1"/>
    <xf numFmtId="0" fontId="0" fillId="0" borderId="1" xfId="0" applyBorder="1"/>
    <xf numFmtId="0" fontId="1" fillId="9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14" borderId="1" xfId="0" applyFill="1" applyBorder="1" applyAlignment="1">
      <alignment vertical="center"/>
    </xf>
    <xf numFmtId="0" fontId="0" fillId="14" borderId="1" xfId="0" applyFill="1" applyBorder="1" applyAlignment="1">
      <alignment vertical="center" wrapText="1"/>
    </xf>
    <xf numFmtId="0" fontId="0" fillId="16" borderId="1" xfId="0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0" fillId="18" borderId="1" xfId="0" applyFill="1" applyBorder="1" applyAlignment="1">
      <alignment vertical="center"/>
    </xf>
    <xf numFmtId="0" fontId="0" fillId="18" borderId="1" xfId="0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0" fillId="20" borderId="1" xfId="0" applyFill="1" applyBorder="1" applyAlignment="1">
      <alignment vertical="center"/>
    </xf>
    <xf numFmtId="0" fontId="0" fillId="6" borderId="1" xfId="0" applyFill="1" applyBorder="1"/>
    <xf numFmtId="0" fontId="0" fillId="22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wrapText="1"/>
    </xf>
    <xf numFmtId="0" fontId="1" fillId="0" borderId="0" xfId="0" applyFont="1" applyAlignment="1">
      <alignment horizontal="center" vertical="center"/>
    </xf>
    <xf numFmtId="0" fontId="0" fillId="20" borderId="1" xfId="0" applyFill="1" applyBorder="1" applyAlignment="1">
      <alignment vertical="center" wrapText="1"/>
    </xf>
    <xf numFmtId="0" fontId="0" fillId="23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17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wrapText="1"/>
    </xf>
    <xf numFmtId="0" fontId="0" fillId="20" borderId="3" xfId="0" applyFill="1" applyBorder="1" applyAlignment="1">
      <alignment vertical="center"/>
    </xf>
    <xf numFmtId="0" fontId="0" fillId="20" borderId="3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2" xfId="0" applyFill="1" applyBorder="1"/>
    <xf numFmtId="0" fontId="0" fillId="5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left" vertical="center" wrapText="1"/>
    </xf>
    <xf numFmtId="0" fontId="0" fillId="22" borderId="1" xfId="0" applyFill="1" applyBorder="1" applyAlignment="1">
      <alignment horizontal="left" vertical="center" wrapText="1"/>
    </xf>
    <xf numFmtId="0" fontId="0" fillId="18" borderId="1" xfId="0" applyFill="1" applyBorder="1" applyAlignment="1">
      <alignment horizontal="left" vertical="center" wrapText="1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left" vertical="center" wrapText="1"/>
    </xf>
    <xf numFmtId="0" fontId="0" fillId="26" borderId="1" xfId="0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left" vertical="center" wrapText="1"/>
    </xf>
    <xf numFmtId="0" fontId="0" fillId="19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left" vertical="center" wrapText="1"/>
    </xf>
    <xf numFmtId="0" fontId="0" fillId="21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left" vertical="center" wrapText="1"/>
    </xf>
    <xf numFmtId="0" fontId="4" fillId="0" borderId="0" xfId="2" applyAlignment="1">
      <alignment horizontal="left" vertical="center"/>
    </xf>
    <xf numFmtId="0" fontId="0" fillId="21" borderId="3" xfId="0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CC66"/>
      <color rgb="FF6699FF"/>
      <color rgb="FFFF99CC"/>
      <color rgb="FF66FFFF"/>
      <color rgb="FFCCFF33"/>
      <color rgb="FFCCCCFF"/>
      <color rgb="FF99FF99"/>
      <color rgb="FFFF9966"/>
      <color rgb="FFCC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Mapa</a:t>
            </a:r>
            <a:r>
              <a:rPr lang="es-CO" baseline="0"/>
              <a:t> de empatía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'Mapa de Empatía'!$B$1</c:f>
              <c:strCache>
                <c:ptCount val="1"/>
                <c:pt idx="0">
                  <c:v>Operador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'Mapa de Empatía'!$A$2:$A$8</c:f>
              <c:strCache>
                <c:ptCount val="7"/>
                <c:pt idx="0">
                  <c:v>Disponibilidad</c:v>
                </c:pt>
                <c:pt idx="1">
                  <c:v>Rendimiento</c:v>
                </c:pt>
                <c:pt idx="2">
                  <c:v>Seguridad</c:v>
                </c:pt>
                <c:pt idx="3">
                  <c:v>Costo</c:v>
                </c:pt>
                <c:pt idx="4">
                  <c:v>Confiabilidad</c:v>
                </c:pt>
                <c:pt idx="5">
                  <c:v>Administrabilidad</c:v>
                </c:pt>
                <c:pt idx="6">
                  <c:v>Mantenibilidad</c:v>
                </c:pt>
              </c:strCache>
            </c:strRef>
          </c:cat>
          <c:val>
            <c:numRef>
              <c:f>'Mapa de Empatía'!$B$2:$B$8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7</c:v>
                </c:pt>
                <c:pt idx="4">
                  <c:v>2</c:v>
                </c:pt>
                <c:pt idx="5">
                  <c:v>5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7-4F5B-93E4-EF94390777F7}"/>
            </c:ext>
          </c:extLst>
        </c:ser>
        <c:ser>
          <c:idx val="1"/>
          <c:order val="1"/>
          <c:tx>
            <c:strRef>
              <c:f>'Mapa de Empatía'!$C$1</c:f>
              <c:strCache>
                <c:ptCount val="1"/>
                <c:pt idx="0">
                  <c:v>Administrador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'Mapa de Empatía'!$A$2:$A$8</c:f>
              <c:strCache>
                <c:ptCount val="7"/>
                <c:pt idx="0">
                  <c:v>Disponibilidad</c:v>
                </c:pt>
                <c:pt idx="1">
                  <c:v>Rendimiento</c:v>
                </c:pt>
                <c:pt idx="2">
                  <c:v>Seguridad</c:v>
                </c:pt>
                <c:pt idx="3">
                  <c:v>Costo</c:v>
                </c:pt>
                <c:pt idx="4">
                  <c:v>Confiabilidad</c:v>
                </c:pt>
                <c:pt idx="5">
                  <c:v>Administrabilidad</c:v>
                </c:pt>
                <c:pt idx="6">
                  <c:v>Mantenibilidad</c:v>
                </c:pt>
              </c:strCache>
            </c:strRef>
          </c:cat>
          <c:val>
            <c:numRef>
              <c:f>'Mapa de Empatía'!$C$2:$C$8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7</c:v>
                </c:pt>
                <c:pt idx="5">
                  <c:v>1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7-4F5B-93E4-EF94390777F7}"/>
            </c:ext>
          </c:extLst>
        </c:ser>
        <c:ser>
          <c:idx val="2"/>
          <c:order val="2"/>
          <c:tx>
            <c:strRef>
              <c:f>'Mapa de Empatía'!$D$1</c:f>
              <c:strCache>
                <c:ptCount val="1"/>
                <c:pt idx="0">
                  <c:v>Usuario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'Mapa de Empatía'!$A$2:$A$8</c:f>
              <c:strCache>
                <c:ptCount val="7"/>
                <c:pt idx="0">
                  <c:v>Disponibilidad</c:v>
                </c:pt>
                <c:pt idx="1">
                  <c:v>Rendimiento</c:v>
                </c:pt>
                <c:pt idx="2">
                  <c:v>Seguridad</c:v>
                </c:pt>
                <c:pt idx="3">
                  <c:v>Costo</c:v>
                </c:pt>
                <c:pt idx="4">
                  <c:v>Confiabilidad</c:v>
                </c:pt>
                <c:pt idx="5">
                  <c:v>Administrabilidad</c:v>
                </c:pt>
                <c:pt idx="6">
                  <c:v>Mantenibilidad</c:v>
                </c:pt>
              </c:strCache>
            </c:strRef>
          </c:cat>
          <c:val>
            <c:numRef>
              <c:f>'Mapa de Empatía'!$D$2:$D$8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6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97-4F5B-93E4-EF94390777F7}"/>
            </c:ext>
          </c:extLst>
        </c:ser>
        <c:ser>
          <c:idx val="3"/>
          <c:order val="3"/>
          <c:tx>
            <c:strRef>
              <c:f>'Mapa de Empatía'!$E$1</c:f>
              <c:strCache>
                <c:ptCount val="1"/>
                <c:pt idx="0">
                  <c:v>Mantenimiento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'Mapa de Empatía'!$A$2:$A$8</c:f>
              <c:strCache>
                <c:ptCount val="7"/>
                <c:pt idx="0">
                  <c:v>Disponibilidad</c:v>
                </c:pt>
                <c:pt idx="1">
                  <c:v>Rendimiento</c:v>
                </c:pt>
                <c:pt idx="2">
                  <c:v>Seguridad</c:v>
                </c:pt>
                <c:pt idx="3">
                  <c:v>Costo</c:v>
                </c:pt>
                <c:pt idx="4">
                  <c:v>Confiabilidad</c:v>
                </c:pt>
                <c:pt idx="5">
                  <c:v>Administrabilidad</c:v>
                </c:pt>
                <c:pt idx="6">
                  <c:v>Mantenibilidad</c:v>
                </c:pt>
              </c:strCache>
            </c:strRef>
          </c:cat>
          <c:val>
            <c:numRef>
              <c:f>'Mapa de Empatía'!$E$2:$E$8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7</c:v>
                </c:pt>
                <c:pt idx="4">
                  <c:v>3</c:v>
                </c:pt>
                <c:pt idx="5">
                  <c:v>6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97-4F5B-93E4-EF9439077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792832"/>
        <c:axId val="1986558704"/>
      </c:radarChart>
      <c:catAx>
        <c:axId val="171879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6558704"/>
        <c:crosses val="autoZero"/>
        <c:auto val="1"/>
        <c:lblAlgn val="ctr"/>
        <c:lblOffset val="100"/>
        <c:noMultiLvlLbl val="0"/>
      </c:catAx>
      <c:valAx>
        <c:axId val="198655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18792832"/>
        <c:crosses val="autoZero"/>
        <c:crossBetween val="between"/>
      </c:valAx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plotArea>
    <c:legend>
      <c:legendPos val="t"/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Mapa</a:t>
            </a:r>
            <a:r>
              <a:rPr lang="es-CO" baseline="0"/>
              <a:t> de empatía ponderado </a:t>
            </a:r>
            <a:endParaRPr lang="es-CO"/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'Mapa de Empatía'!$F$1</c:f>
              <c:strCache>
                <c:ptCount val="1"/>
                <c:pt idx="0">
                  <c:v>Operador ponderado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'Mapa de Empatía'!$A$2:$A$8</c:f>
              <c:strCache>
                <c:ptCount val="7"/>
                <c:pt idx="0">
                  <c:v>Disponibilidad</c:v>
                </c:pt>
                <c:pt idx="1">
                  <c:v>Rendimiento</c:v>
                </c:pt>
                <c:pt idx="2">
                  <c:v>Seguridad</c:v>
                </c:pt>
                <c:pt idx="3">
                  <c:v>Costo</c:v>
                </c:pt>
                <c:pt idx="4">
                  <c:v>Confiabilidad</c:v>
                </c:pt>
                <c:pt idx="5">
                  <c:v>Administrabilidad</c:v>
                </c:pt>
                <c:pt idx="6">
                  <c:v>Mantenibilidad</c:v>
                </c:pt>
              </c:strCache>
            </c:strRef>
          </c:cat>
          <c:val>
            <c:numRef>
              <c:f>'Mapa de Empatía'!$F$2:$F$8</c:f>
              <c:numCache>
                <c:formatCode>General</c:formatCode>
                <c:ptCount val="7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5-49B8-9112-16A95FFB1EC7}"/>
            </c:ext>
          </c:extLst>
        </c:ser>
        <c:ser>
          <c:idx val="1"/>
          <c:order val="1"/>
          <c:tx>
            <c:strRef>
              <c:f>'Mapa de Empatía'!$G$1</c:f>
              <c:strCache>
                <c:ptCount val="1"/>
                <c:pt idx="0">
                  <c:v>Administrdor ponderado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'Mapa de Empatía'!$A$2:$A$8</c:f>
              <c:strCache>
                <c:ptCount val="7"/>
                <c:pt idx="0">
                  <c:v>Disponibilidad</c:v>
                </c:pt>
                <c:pt idx="1">
                  <c:v>Rendimiento</c:v>
                </c:pt>
                <c:pt idx="2">
                  <c:v>Seguridad</c:v>
                </c:pt>
                <c:pt idx="3">
                  <c:v>Costo</c:v>
                </c:pt>
                <c:pt idx="4">
                  <c:v>Confiabilidad</c:v>
                </c:pt>
                <c:pt idx="5">
                  <c:v>Administrabilidad</c:v>
                </c:pt>
                <c:pt idx="6">
                  <c:v>Mantenibilidad</c:v>
                </c:pt>
              </c:strCache>
            </c:strRef>
          </c:cat>
          <c:val>
            <c:numRef>
              <c:f>'Mapa de Empatía'!$G$2:$G$8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1</c:v>
                </c:pt>
                <c:pt idx="5">
                  <c:v>7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85-49B8-9112-16A95FFB1EC7}"/>
            </c:ext>
          </c:extLst>
        </c:ser>
        <c:ser>
          <c:idx val="2"/>
          <c:order val="2"/>
          <c:tx>
            <c:strRef>
              <c:f>'Mapa de Empatía'!$H$1</c:f>
              <c:strCache>
                <c:ptCount val="1"/>
                <c:pt idx="0">
                  <c:v>Usuario ponderado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'Mapa de Empatía'!$A$2:$A$8</c:f>
              <c:strCache>
                <c:ptCount val="7"/>
                <c:pt idx="0">
                  <c:v>Disponibilidad</c:v>
                </c:pt>
                <c:pt idx="1">
                  <c:v>Rendimiento</c:v>
                </c:pt>
                <c:pt idx="2">
                  <c:v>Seguridad</c:v>
                </c:pt>
                <c:pt idx="3">
                  <c:v>Costo</c:v>
                </c:pt>
                <c:pt idx="4">
                  <c:v>Confiabilidad</c:v>
                </c:pt>
                <c:pt idx="5">
                  <c:v>Administrabilidad</c:v>
                </c:pt>
                <c:pt idx="6">
                  <c:v>Mantenibilidad</c:v>
                </c:pt>
              </c:strCache>
            </c:strRef>
          </c:cat>
          <c:val>
            <c:numRef>
              <c:f>'Mapa de Empatía'!$H$2:$H$8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85-49B8-9112-16A95FFB1EC7}"/>
            </c:ext>
          </c:extLst>
        </c:ser>
        <c:ser>
          <c:idx val="3"/>
          <c:order val="3"/>
          <c:tx>
            <c:strRef>
              <c:f>'Mapa de Empatía'!$I$1</c:f>
              <c:strCache>
                <c:ptCount val="1"/>
                <c:pt idx="0">
                  <c:v>Mantenimiento ponderado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'Mapa de Empatía'!$A$2:$A$8</c:f>
              <c:strCache>
                <c:ptCount val="7"/>
                <c:pt idx="0">
                  <c:v>Disponibilidad</c:v>
                </c:pt>
                <c:pt idx="1">
                  <c:v>Rendimiento</c:v>
                </c:pt>
                <c:pt idx="2">
                  <c:v>Seguridad</c:v>
                </c:pt>
                <c:pt idx="3">
                  <c:v>Costo</c:v>
                </c:pt>
                <c:pt idx="4">
                  <c:v>Confiabilidad</c:v>
                </c:pt>
                <c:pt idx="5">
                  <c:v>Administrabilidad</c:v>
                </c:pt>
                <c:pt idx="6">
                  <c:v>Mantenibilidad</c:v>
                </c:pt>
              </c:strCache>
            </c:strRef>
          </c:cat>
          <c:val>
            <c:numRef>
              <c:f>'Mapa de Empatía'!$I$2:$I$8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85-49B8-9112-16A95FFB1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079152"/>
        <c:axId val="654089712"/>
      </c:radarChart>
      <c:catAx>
        <c:axId val="65407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4089712"/>
        <c:crosses val="autoZero"/>
        <c:auto val="1"/>
        <c:lblAlgn val="ctr"/>
        <c:lblOffset val="100"/>
        <c:noMultiLvlLbl val="0"/>
      </c:catAx>
      <c:valAx>
        <c:axId val="6540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4079152"/>
        <c:crosses val="autoZero"/>
        <c:crossBetween val="between"/>
      </c:valAx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'Mapa de Empatía'!$K$1</c:f>
              <c:strCache>
                <c:ptCount val="1"/>
                <c:pt idx="0">
                  <c:v>Ponderación real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'Mapa de Empatía'!$A$2:$A$8</c:f>
              <c:strCache>
                <c:ptCount val="7"/>
                <c:pt idx="0">
                  <c:v>Disponibilidad</c:v>
                </c:pt>
                <c:pt idx="1">
                  <c:v>Rendimiento</c:v>
                </c:pt>
                <c:pt idx="2">
                  <c:v>Seguridad</c:v>
                </c:pt>
                <c:pt idx="3">
                  <c:v>Costo</c:v>
                </c:pt>
                <c:pt idx="4">
                  <c:v>Confiabilidad</c:v>
                </c:pt>
                <c:pt idx="5">
                  <c:v>Administrabilidad</c:v>
                </c:pt>
                <c:pt idx="6">
                  <c:v>Mantenibilidad</c:v>
                </c:pt>
              </c:strCache>
            </c:strRef>
          </c:cat>
          <c:val>
            <c:numRef>
              <c:f>'Mapa de Empatía'!$K$2:$K$8</c:f>
              <c:numCache>
                <c:formatCode>0%</c:formatCode>
                <c:ptCount val="7"/>
                <c:pt idx="0">
                  <c:v>0.20535714285714285</c:v>
                </c:pt>
                <c:pt idx="1">
                  <c:v>0.21428571428571427</c:v>
                </c:pt>
                <c:pt idx="2">
                  <c:v>0.14285714285714285</c:v>
                </c:pt>
                <c:pt idx="3">
                  <c:v>8.0357142857142863E-2</c:v>
                </c:pt>
                <c:pt idx="4">
                  <c:v>0.14285714285714285</c:v>
                </c:pt>
                <c:pt idx="5">
                  <c:v>0.125</c:v>
                </c:pt>
                <c:pt idx="6">
                  <c:v>8.9285714285714288E-2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A-4A4A-9D86-02C88B5E9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429776"/>
        <c:axId val="1134438416"/>
      </c:barChart>
      <c:catAx>
        <c:axId val="113442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4438416"/>
        <c:crosses val="autoZero"/>
        <c:auto val="1"/>
        <c:lblAlgn val="ctr"/>
        <c:lblOffset val="100"/>
        <c:noMultiLvlLbl val="0"/>
      </c:catAx>
      <c:valAx>
        <c:axId val="11344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4429776"/>
        <c:crosses val="autoZero"/>
        <c:crossBetween val="between"/>
      </c:valAx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11</xdr:row>
      <xdr:rowOff>87630</xdr:rowOff>
    </xdr:from>
    <xdr:to>
      <xdr:col>5</xdr:col>
      <xdr:colOff>786984</xdr:colOff>
      <xdr:row>38</xdr:row>
      <xdr:rowOff>162394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76CE36-F379-AB2D-FDC1-FDA84F36F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1204833</xdr:colOff>
      <xdr:row>10</xdr:row>
      <xdr:rowOff>87193</xdr:rowOff>
    </xdr:from>
    <xdr:to>
      <xdr:col>11</xdr:col>
      <xdr:colOff>12491</xdr:colOff>
      <xdr:row>37</xdr:row>
      <xdr:rowOff>112427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55E81C3-6808-AFBB-2B73-DBE453AE3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497173</xdr:colOff>
      <xdr:row>9</xdr:row>
      <xdr:rowOff>4620</xdr:rowOff>
    </xdr:from>
    <xdr:to>
      <xdr:col>21</xdr:col>
      <xdr:colOff>462196</xdr:colOff>
      <xdr:row>37</xdr:row>
      <xdr:rowOff>149900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06D390-A160-E36D-D736-C2F955C3D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D1EB-DC53-4D6D-99CB-27233457602F}">
  <dimension ref="A1:H9"/>
  <sheetViews>
    <sheetView workbookViewId="0">
      <selection sqref="A1:XFD3"/>
    </sheetView>
  </sheetViews>
  <sheetFormatPr baseColWidth="10" defaultColWidth="11.44140625" defaultRowHeight="14.4" x14ac:dyDescent="0.3"/>
  <cols>
    <col min="1" max="1" width="27.6640625" bestFit="1" customWidth="1"/>
    <col min="2" max="8" width="4.5546875" customWidth="1"/>
  </cols>
  <sheetData>
    <row r="1" spans="1:8" x14ac:dyDescent="0.3">
      <c r="A1" s="70" t="s">
        <v>0</v>
      </c>
      <c r="B1" s="69"/>
      <c r="C1" s="69"/>
      <c r="D1" s="69"/>
      <c r="E1" s="69"/>
      <c r="F1" s="69"/>
      <c r="G1" s="69"/>
      <c r="H1" s="69"/>
    </row>
    <row r="2" spans="1:8" x14ac:dyDescent="0.3">
      <c r="A2" s="70"/>
      <c r="B2" s="12">
        <v>1</v>
      </c>
      <c r="C2" s="13">
        <v>2</v>
      </c>
      <c r="D2" s="14">
        <v>3</v>
      </c>
      <c r="E2" s="14">
        <v>4</v>
      </c>
      <c r="F2" s="15">
        <v>5</v>
      </c>
      <c r="G2" s="15">
        <v>6</v>
      </c>
      <c r="H2" s="16">
        <v>7</v>
      </c>
    </row>
    <row r="3" spans="1:8" x14ac:dyDescent="0.3">
      <c r="A3" s="4" t="s">
        <v>1</v>
      </c>
      <c r="B3" s="2" t="s">
        <v>2</v>
      </c>
      <c r="C3" s="1"/>
      <c r="D3" s="1"/>
      <c r="E3" s="1"/>
      <c r="F3" s="1"/>
      <c r="G3" s="1"/>
      <c r="H3" s="1"/>
    </row>
    <row r="4" spans="1:8" x14ac:dyDescent="0.3">
      <c r="A4" s="4" t="s">
        <v>3</v>
      </c>
      <c r="B4" s="1"/>
      <c r="C4" s="2" t="s">
        <v>2</v>
      </c>
      <c r="D4" s="1"/>
      <c r="E4" s="1"/>
      <c r="F4" s="1"/>
      <c r="G4" s="1"/>
      <c r="H4" s="1"/>
    </row>
    <row r="5" spans="1:8" x14ac:dyDescent="0.3">
      <c r="A5" s="4" t="s">
        <v>4</v>
      </c>
      <c r="B5" s="1"/>
      <c r="C5" s="1"/>
      <c r="D5" s="2" t="s">
        <v>2</v>
      </c>
      <c r="E5" s="1"/>
      <c r="F5" s="1"/>
      <c r="G5" s="1"/>
      <c r="H5" s="1"/>
    </row>
    <row r="6" spans="1:8" x14ac:dyDescent="0.3">
      <c r="A6" s="4" t="s">
        <v>5</v>
      </c>
      <c r="B6" s="1"/>
      <c r="C6" s="1"/>
      <c r="D6" s="1"/>
      <c r="E6" s="2" t="s">
        <v>2</v>
      </c>
      <c r="F6" s="1"/>
      <c r="G6" s="1"/>
      <c r="H6" s="1"/>
    </row>
    <row r="7" spans="1:8" x14ac:dyDescent="0.3">
      <c r="A7" s="4" t="s">
        <v>6</v>
      </c>
      <c r="B7" s="1"/>
      <c r="C7" s="1"/>
      <c r="D7" s="1"/>
      <c r="E7" s="1"/>
      <c r="F7" s="2" t="s">
        <v>2</v>
      </c>
      <c r="G7" s="1"/>
      <c r="H7" s="1"/>
    </row>
    <row r="8" spans="1:8" x14ac:dyDescent="0.3">
      <c r="A8" s="4" t="s">
        <v>7</v>
      </c>
      <c r="B8" s="1"/>
      <c r="C8" s="1"/>
      <c r="D8" s="1"/>
      <c r="E8" s="1"/>
      <c r="F8" s="1"/>
      <c r="G8" s="2" t="s">
        <v>2</v>
      </c>
      <c r="H8" s="17"/>
    </row>
    <row r="9" spans="1:8" x14ac:dyDescent="0.3">
      <c r="A9" s="4" t="s">
        <v>8</v>
      </c>
      <c r="B9" s="1"/>
      <c r="C9" s="1"/>
      <c r="D9" s="1"/>
      <c r="E9" s="1"/>
      <c r="F9" s="1"/>
      <c r="G9" s="1"/>
      <c r="H9" s="2" t="s">
        <v>2</v>
      </c>
    </row>
  </sheetData>
  <mergeCells count="2">
    <mergeCell ref="B1:H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C348-060D-413C-9179-8ED47B78CD64}">
  <dimension ref="A1:K9"/>
  <sheetViews>
    <sheetView zoomScaleNormal="100" workbookViewId="0">
      <selection sqref="A1:XFD3"/>
    </sheetView>
  </sheetViews>
  <sheetFormatPr baseColWidth="10" defaultColWidth="11.44140625" defaultRowHeight="14.4" x14ac:dyDescent="0.3"/>
  <cols>
    <col min="1" max="1" width="27.6640625" bestFit="1" customWidth="1"/>
    <col min="3" max="3" width="13" bestFit="1" customWidth="1"/>
    <col min="4" max="4" width="15.6640625" bestFit="1" customWidth="1"/>
    <col min="5" max="5" width="13.5546875" customWidth="1"/>
    <col min="6" max="7" width="20.6640625" customWidth="1"/>
    <col min="8" max="8" width="20.109375" customWidth="1"/>
    <col min="9" max="9" width="22.44140625" customWidth="1"/>
    <col min="10" max="10" width="16.33203125" customWidth="1"/>
    <col min="11" max="11" width="21" customWidth="1"/>
  </cols>
  <sheetData>
    <row r="1" spans="1:11" x14ac:dyDescent="0.3">
      <c r="A1" s="9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1" t="s">
        <v>19</v>
      </c>
      <c r="K1" s="10" t="s">
        <v>20</v>
      </c>
    </row>
    <row r="2" spans="1:11" x14ac:dyDescent="0.3">
      <c r="A2" s="4" t="s">
        <v>1</v>
      </c>
      <c r="B2" s="5">
        <v>3</v>
      </c>
      <c r="C2" s="5">
        <v>3</v>
      </c>
      <c r="D2" s="5">
        <v>1</v>
      </c>
      <c r="E2" s="5">
        <v>2</v>
      </c>
      <c r="F2" s="3">
        <f>8-B2</f>
        <v>5</v>
      </c>
      <c r="G2" s="3">
        <f t="shared" ref="G2:I8" si="0">8-C2</f>
        <v>5</v>
      </c>
      <c r="H2" s="3">
        <f t="shared" si="0"/>
        <v>7</v>
      </c>
      <c r="I2" s="3">
        <f t="shared" si="0"/>
        <v>6</v>
      </c>
      <c r="J2" s="6">
        <f>SUM(F2:I2)</f>
        <v>23</v>
      </c>
      <c r="K2" s="8">
        <f t="shared" ref="K2:K8" si="1">J2/$J$9</f>
        <v>0.20535714285714285</v>
      </c>
    </row>
    <row r="3" spans="1:11" x14ac:dyDescent="0.3">
      <c r="A3" s="4" t="s">
        <v>3</v>
      </c>
      <c r="B3" s="5">
        <v>1</v>
      </c>
      <c r="C3" s="5">
        <v>4</v>
      </c>
      <c r="D3" s="5">
        <v>2</v>
      </c>
      <c r="E3" s="5">
        <v>1</v>
      </c>
      <c r="F3" s="3">
        <f t="shared" ref="F3:F8" si="2">8-B3</f>
        <v>7</v>
      </c>
      <c r="G3" s="3">
        <f t="shared" si="0"/>
        <v>4</v>
      </c>
      <c r="H3" s="3">
        <f t="shared" si="0"/>
        <v>6</v>
      </c>
      <c r="I3" s="3">
        <f t="shared" si="0"/>
        <v>7</v>
      </c>
      <c r="J3" s="6">
        <f t="shared" ref="J3:J8" si="3">SUM(F3:I3)</f>
        <v>24</v>
      </c>
      <c r="K3" s="8">
        <f t="shared" si="1"/>
        <v>0.21428571428571427</v>
      </c>
    </row>
    <row r="4" spans="1:11" x14ac:dyDescent="0.3">
      <c r="A4" s="4" t="s">
        <v>4</v>
      </c>
      <c r="B4" s="5">
        <v>4</v>
      </c>
      <c r="C4" s="5">
        <v>5</v>
      </c>
      <c r="D4" s="5">
        <v>3</v>
      </c>
      <c r="E4" s="5">
        <v>4</v>
      </c>
      <c r="F4" s="3">
        <f t="shared" si="2"/>
        <v>4</v>
      </c>
      <c r="G4" s="3">
        <f t="shared" si="0"/>
        <v>3</v>
      </c>
      <c r="H4" s="3">
        <f t="shared" si="0"/>
        <v>5</v>
      </c>
      <c r="I4" s="3">
        <f t="shared" si="0"/>
        <v>4</v>
      </c>
      <c r="J4" s="6">
        <f t="shared" si="3"/>
        <v>16</v>
      </c>
      <c r="K4" s="8">
        <f t="shared" si="1"/>
        <v>0.14285714285714285</v>
      </c>
    </row>
    <row r="5" spans="1:11" x14ac:dyDescent="0.3">
      <c r="A5" s="4" t="s">
        <v>5</v>
      </c>
      <c r="B5" s="5">
        <v>7</v>
      </c>
      <c r="C5" s="5">
        <v>2</v>
      </c>
      <c r="D5" s="5">
        <v>7</v>
      </c>
      <c r="E5" s="5">
        <v>7</v>
      </c>
      <c r="F5" s="3">
        <f t="shared" si="2"/>
        <v>1</v>
      </c>
      <c r="G5" s="3">
        <f t="shared" si="0"/>
        <v>6</v>
      </c>
      <c r="H5" s="3">
        <f t="shared" si="0"/>
        <v>1</v>
      </c>
      <c r="I5" s="3">
        <f t="shared" si="0"/>
        <v>1</v>
      </c>
      <c r="J5" s="6">
        <f t="shared" si="3"/>
        <v>9</v>
      </c>
      <c r="K5" s="8">
        <f t="shared" si="1"/>
        <v>8.0357142857142863E-2</v>
      </c>
    </row>
    <row r="6" spans="1:11" x14ac:dyDescent="0.3">
      <c r="A6" s="4" t="s">
        <v>6</v>
      </c>
      <c r="B6" s="5">
        <v>2</v>
      </c>
      <c r="C6" s="5">
        <v>7</v>
      </c>
      <c r="D6" s="5">
        <v>4</v>
      </c>
      <c r="E6" s="5">
        <v>3</v>
      </c>
      <c r="F6" s="3">
        <f t="shared" si="2"/>
        <v>6</v>
      </c>
      <c r="G6" s="3">
        <f t="shared" si="0"/>
        <v>1</v>
      </c>
      <c r="H6" s="3">
        <f t="shared" si="0"/>
        <v>4</v>
      </c>
      <c r="I6" s="3">
        <f t="shared" si="0"/>
        <v>5</v>
      </c>
      <c r="J6" s="6">
        <f t="shared" si="3"/>
        <v>16</v>
      </c>
      <c r="K6" s="8">
        <f t="shared" si="1"/>
        <v>0.14285714285714285</v>
      </c>
    </row>
    <row r="7" spans="1:11" x14ac:dyDescent="0.3">
      <c r="A7" s="4" t="s">
        <v>7</v>
      </c>
      <c r="B7" s="5">
        <v>5</v>
      </c>
      <c r="C7" s="5">
        <v>1</v>
      </c>
      <c r="D7" s="5">
        <v>6</v>
      </c>
      <c r="E7" s="5">
        <v>6</v>
      </c>
      <c r="F7" s="3">
        <f t="shared" si="2"/>
        <v>3</v>
      </c>
      <c r="G7" s="3">
        <f t="shared" si="0"/>
        <v>7</v>
      </c>
      <c r="H7" s="3">
        <f t="shared" si="0"/>
        <v>2</v>
      </c>
      <c r="I7" s="3">
        <f t="shared" si="0"/>
        <v>2</v>
      </c>
      <c r="J7" s="6">
        <f t="shared" si="3"/>
        <v>14</v>
      </c>
      <c r="K7" s="8">
        <f t="shared" si="1"/>
        <v>0.125</v>
      </c>
    </row>
    <row r="8" spans="1:11" x14ac:dyDescent="0.3">
      <c r="A8" s="4" t="s">
        <v>8</v>
      </c>
      <c r="B8" s="5">
        <v>6</v>
      </c>
      <c r="C8" s="5">
        <v>6</v>
      </c>
      <c r="D8" s="5">
        <v>5</v>
      </c>
      <c r="E8" s="5">
        <v>5</v>
      </c>
      <c r="F8" s="3">
        <f t="shared" si="2"/>
        <v>2</v>
      </c>
      <c r="G8" s="3">
        <f t="shared" si="0"/>
        <v>2</v>
      </c>
      <c r="H8" s="3">
        <f t="shared" si="0"/>
        <v>3</v>
      </c>
      <c r="I8" s="3">
        <f t="shared" si="0"/>
        <v>3</v>
      </c>
      <c r="J8" s="6">
        <f t="shared" si="3"/>
        <v>10</v>
      </c>
      <c r="K8" s="8">
        <f t="shared" si="1"/>
        <v>8.9285714285714288E-2</v>
      </c>
    </row>
    <row r="9" spans="1:11" x14ac:dyDescent="0.3">
      <c r="B9" s="32">
        <f>SUM(B2:B8)</f>
        <v>28</v>
      </c>
      <c r="C9" s="32">
        <f>SUM(C2:C8)</f>
        <v>28</v>
      </c>
      <c r="D9" s="32">
        <f>SUM(D2:D8)</f>
        <v>28</v>
      </c>
      <c r="E9" s="32">
        <f>SUM(E2:E8)</f>
        <v>28</v>
      </c>
      <c r="F9" s="60">
        <f>SUM(F2:F8)</f>
        <v>28</v>
      </c>
      <c r="G9" s="60">
        <f t="shared" ref="G9:I9" si="4">SUM(G2:G8)</f>
        <v>28</v>
      </c>
      <c r="H9" s="60">
        <f t="shared" si="4"/>
        <v>28</v>
      </c>
      <c r="I9" s="60">
        <f t="shared" si="4"/>
        <v>28</v>
      </c>
      <c r="J9" s="32">
        <f>SUM(J2:J8)</f>
        <v>112</v>
      </c>
      <c r="K9" s="7">
        <f>SUM(K2:K8)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FB8D-1244-47DA-A03E-BCC839614235}">
  <dimension ref="A1:I12"/>
  <sheetViews>
    <sheetView zoomScale="91" workbookViewId="0">
      <selection sqref="A1:XFD1"/>
    </sheetView>
  </sheetViews>
  <sheetFormatPr baseColWidth="10" defaultColWidth="11.5546875" defaultRowHeight="14.4" x14ac:dyDescent="0.3"/>
  <cols>
    <col min="1" max="1" width="23.109375" style="20" customWidth="1"/>
    <col min="2" max="2" width="22.5546875" style="20" customWidth="1"/>
    <col min="3" max="3" width="46.33203125" style="20" bestFit="1" customWidth="1"/>
    <col min="4" max="4" width="35.6640625" style="20" customWidth="1"/>
    <col min="5" max="5" width="37.5546875" style="20" customWidth="1"/>
    <col min="6" max="6" width="11.5546875" style="20"/>
    <col min="7" max="7" width="12.88671875" style="20" bestFit="1" customWidth="1"/>
    <col min="8" max="8" width="11.5546875" style="20"/>
    <col min="9" max="9" width="14" style="20" bestFit="1" customWidth="1"/>
    <col min="10" max="16384" width="11.5546875" style="20"/>
  </cols>
  <sheetData>
    <row r="1" spans="1:9" x14ac:dyDescent="0.3">
      <c r="A1" s="18" t="s">
        <v>0</v>
      </c>
      <c r="B1" s="18" t="s">
        <v>22</v>
      </c>
      <c r="C1" s="18" t="s">
        <v>23</v>
      </c>
      <c r="D1" s="18" t="s">
        <v>24</v>
      </c>
      <c r="E1" s="18" t="s">
        <v>25</v>
      </c>
      <c r="F1" s="36"/>
      <c r="G1" s="36"/>
      <c r="H1" s="36"/>
      <c r="I1" s="36"/>
    </row>
    <row r="2" spans="1:9" ht="57.6" x14ac:dyDescent="0.3">
      <c r="A2" s="47" t="s">
        <v>3</v>
      </c>
      <c r="B2" s="48" t="s">
        <v>26</v>
      </c>
      <c r="C2" s="61" t="s">
        <v>27</v>
      </c>
      <c r="D2" s="21" t="s">
        <v>28</v>
      </c>
      <c r="E2" s="23" t="s">
        <v>29</v>
      </c>
    </row>
    <row r="3" spans="1:9" ht="72" x14ac:dyDescent="0.3">
      <c r="A3" s="74" t="s">
        <v>1</v>
      </c>
      <c r="B3" s="75" t="s">
        <v>30</v>
      </c>
      <c r="C3" s="76" t="s">
        <v>31</v>
      </c>
      <c r="D3" s="26" t="s">
        <v>32</v>
      </c>
      <c r="E3" s="30" t="s">
        <v>33</v>
      </c>
      <c r="G3" s="50"/>
    </row>
    <row r="4" spans="1:9" ht="57.6" x14ac:dyDescent="0.3">
      <c r="A4" s="74"/>
      <c r="B4" s="75"/>
      <c r="C4" s="76"/>
      <c r="D4" s="26" t="s">
        <v>34</v>
      </c>
      <c r="E4" s="35" t="s">
        <v>35</v>
      </c>
    </row>
    <row r="5" spans="1:9" ht="57.6" x14ac:dyDescent="0.3">
      <c r="A5" s="77" t="s">
        <v>4</v>
      </c>
      <c r="B5" s="78" t="s">
        <v>36</v>
      </c>
      <c r="C5" s="79" t="s">
        <v>37</v>
      </c>
      <c r="D5" s="31" t="s">
        <v>38</v>
      </c>
      <c r="E5" s="37" t="s">
        <v>39</v>
      </c>
    </row>
    <row r="6" spans="1:9" ht="63" customHeight="1" x14ac:dyDescent="0.3">
      <c r="A6" s="77"/>
      <c r="B6" s="78"/>
      <c r="C6" s="79"/>
      <c r="D6" s="31" t="s">
        <v>40</v>
      </c>
      <c r="E6" s="37" t="s">
        <v>41</v>
      </c>
    </row>
    <row r="7" spans="1:9" ht="85.95" customHeight="1" x14ac:dyDescent="0.3">
      <c r="A7" s="77"/>
      <c r="B7" s="51" t="s">
        <v>67</v>
      </c>
      <c r="C7" s="62" t="s">
        <v>43</v>
      </c>
      <c r="D7" s="27" t="s">
        <v>44</v>
      </c>
      <c r="E7" s="53" t="s">
        <v>45</v>
      </c>
    </row>
    <row r="8" spans="1:9" ht="72" customHeight="1" x14ac:dyDescent="0.3">
      <c r="A8" s="38" t="s">
        <v>6</v>
      </c>
      <c r="B8" s="39" t="s">
        <v>46</v>
      </c>
      <c r="C8" s="63" t="s">
        <v>47</v>
      </c>
      <c r="D8" s="33" t="s">
        <v>48</v>
      </c>
      <c r="E8" s="40" t="s">
        <v>49</v>
      </c>
    </row>
    <row r="9" spans="1:9" ht="86.4" customHeight="1" x14ac:dyDescent="0.3">
      <c r="A9" s="71" t="s">
        <v>8</v>
      </c>
      <c r="B9" s="72" t="s">
        <v>68</v>
      </c>
      <c r="C9" s="73" t="s">
        <v>51</v>
      </c>
      <c r="D9" s="24" t="s">
        <v>52</v>
      </c>
      <c r="E9" s="25" t="s">
        <v>53</v>
      </c>
    </row>
    <row r="10" spans="1:9" ht="43.2" x14ac:dyDescent="0.3">
      <c r="A10" s="71"/>
      <c r="B10" s="72"/>
      <c r="C10" s="73"/>
      <c r="D10" s="24" t="s">
        <v>54</v>
      </c>
      <c r="E10" s="56" t="s">
        <v>55</v>
      </c>
    </row>
    <row r="11" spans="1:9" ht="86.4" x14ac:dyDescent="0.3">
      <c r="A11" s="34" t="s">
        <v>7</v>
      </c>
      <c r="B11" s="42" t="s">
        <v>56</v>
      </c>
      <c r="C11" s="64" t="s">
        <v>57</v>
      </c>
      <c r="D11" s="28" t="s">
        <v>58</v>
      </c>
      <c r="E11" s="29" t="s">
        <v>59</v>
      </c>
    </row>
    <row r="12" spans="1:9" ht="100.8" x14ac:dyDescent="0.3">
      <c r="A12" s="65" t="s">
        <v>5</v>
      </c>
      <c r="B12" s="66" t="s">
        <v>60</v>
      </c>
      <c r="C12" s="67" t="s">
        <v>61</v>
      </c>
      <c r="D12" s="68" t="s">
        <v>62</v>
      </c>
      <c r="E12" s="67" t="s">
        <v>63</v>
      </c>
    </row>
  </sheetData>
  <mergeCells count="9">
    <mergeCell ref="A9:A10"/>
    <mergeCell ref="B9:B10"/>
    <mergeCell ref="C9:C10"/>
    <mergeCell ref="A3:A4"/>
    <mergeCell ref="B3:B4"/>
    <mergeCell ref="C3:C4"/>
    <mergeCell ref="A5:A7"/>
    <mergeCell ref="B5:B6"/>
    <mergeCell ref="C5:C6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26DC-3331-42E6-9052-9C5E0D4BC781}">
  <dimension ref="A1:J13"/>
  <sheetViews>
    <sheetView zoomScale="91" workbookViewId="0">
      <selection sqref="A1:XFD6"/>
    </sheetView>
  </sheetViews>
  <sheetFormatPr baseColWidth="10" defaultColWidth="11.5546875" defaultRowHeight="14.4" x14ac:dyDescent="0.3"/>
  <cols>
    <col min="1" max="1" width="23.109375" style="20" customWidth="1"/>
    <col min="2" max="2" width="22.5546875" style="20" customWidth="1"/>
    <col min="3" max="3" width="46.33203125" style="20" bestFit="1" customWidth="1"/>
    <col min="4" max="4" width="35.6640625" style="20" customWidth="1"/>
    <col min="5" max="5" width="37.5546875" style="20" customWidth="1"/>
    <col min="6" max="6" width="11.5546875" style="20"/>
    <col min="7" max="7" width="12.88671875" style="20" bestFit="1" customWidth="1"/>
    <col min="8" max="8" width="11.5546875" style="20"/>
    <col min="9" max="9" width="14" style="20" bestFit="1" customWidth="1"/>
    <col min="10" max="16384" width="11.5546875" style="20"/>
  </cols>
  <sheetData>
    <row r="1" spans="1:10" x14ac:dyDescent="0.3">
      <c r="A1" s="18" t="s">
        <v>0</v>
      </c>
      <c r="B1" s="18" t="s">
        <v>22</v>
      </c>
      <c r="C1" s="18" t="s">
        <v>23</v>
      </c>
      <c r="D1" s="18" t="s">
        <v>24</v>
      </c>
      <c r="E1" s="18" t="s">
        <v>25</v>
      </c>
      <c r="F1" s="19" t="s">
        <v>11</v>
      </c>
      <c r="G1" s="19" t="s">
        <v>12</v>
      </c>
      <c r="H1" s="19" t="s">
        <v>13</v>
      </c>
      <c r="I1" s="19" t="s">
        <v>14</v>
      </c>
      <c r="J1" s="19" t="s">
        <v>65</v>
      </c>
    </row>
    <row r="2" spans="1:10" ht="72" customHeight="1" x14ac:dyDescent="0.3">
      <c r="A2" s="47" t="s">
        <v>3</v>
      </c>
      <c r="B2" s="48" t="s">
        <v>26</v>
      </c>
      <c r="C2" s="61" t="s">
        <v>27</v>
      </c>
      <c r="D2" s="21" t="s">
        <v>28</v>
      </c>
      <c r="E2" s="23" t="s">
        <v>29</v>
      </c>
      <c r="F2" s="1">
        <v>1</v>
      </c>
      <c r="G2" s="1">
        <v>0</v>
      </c>
      <c r="H2" s="1">
        <v>0</v>
      </c>
      <c r="I2" s="1">
        <v>0</v>
      </c>
      <c r="J2" s="22">
        <f>SUM(F2:I2)</f>
        <v>1</v>
      </c>
    </row>
    <row r="3" spans="1:10" ht="86.4" customHeight="1" x14ac:dyDescent="0.3">
      <c r="A3" s="74" t="s">
        <v>1</v>
      </c>
      <c r="B3" s="75" t="s">
        <v>30</v>
      </c>
      <c r="C3" s="76" t="s">
        <v>31</v>
      </c>
      <c r="D3" s="26" t="s">
        <v>32</v>
      </c>
      <c r="E3" s="30" t="s">
        <v>33</v>
      </c>
      <c r="F3" s="1">
        <v>1</v>
      </c>
      <c r="G3" s="1">
        <v>0</v>
      </c>
      <c r="H3" s="1">
        <v>1</v>
      </c>
      <c r="I3" s="1">
        <v>1</v>
      </c>
      <c r="J3" s="22">
        <f t="shared" ref="J3:J9" si="0">SUM(F3:I3)</f>
        <v>3</v>
      </c>
    </row>
    <row r="4" spans="1:10" ht="57.6" x14ac:dyDescent="0.3">
      <c r="A4" s="74"/>
      <c r="B4" s="75"/>
      <c r="C4" s="76"/>
      <c r="D4" s="26" t="s">
        <v>34</v>
      </c>
      <c r="E4" s="35" t="s">
        <v>35</v>
      </c>
      <c r="F4" s="1">
        <v>0</v>
      </c>
      <c r="G4" s="1">
        <v>0</v>
      </c>
      <c r="H4" s="1">
        <v>0</v>
      </c>
      <c r="I4" s="1">
        <v>0</v>
      </c>
      <c r="J4" s="22">
        <f t="shared" si="0"/>
        <v>0</v>
      </c>
    </row>
    <row r="5" spans="1:10" ht="57.6" x14ac:dyDescent="0.3">
      <c r="A5" s="81" t="s">
        <v>4</v>
      </c>
      <c r="B5" s="78" t="s">
        <v>36</v>
      </c>
      <c r="C5" s="79" t="s">
        <v>37</v>
      </c>
      <c r="D5" s="31" t="s">
        <v>38</v>
      </c>
      <c r="E5" s="37" t="s">
        <v>39</v>
      </c>
      <c r="F5" s="1">
        <v>0</v>
      </c>
      <c r="G5" s="1">
        <v>0</v>
      </c>
      <c r="H5" s="1">
        <v>0</v>
      </c>
      <c r="I5" s="1">
        <v>0</v>
      </c>
      <c r="J5" s="22">
        <f t="shared" si="0"/>
        <v>0</v>
      </c>
    </row>
    <row r="6" spans="1:10" ht="57.6" x14ac:dyDescent="0.3">
      <c r="A6" s="82"/>
      <c r="B6" s="78"/>
      <c r="C6" s="79"/>
      <c r="D6" s="31" t="s">
        <v>40</v>
      </c>
      <c r="E6" s="37" t="s">
        <v>41</v>
      </c>
      <c r="F6" s="1">
        <v>0</v>
      </c>
      <c r="G6" s="1">
        <v>0</v>
      </c>
      <c r="H6" s="1">
        <v>1</v>
      </c>
      <c r="I6" s="1">
        <v>0</v>
      </c>
      <c r="J6" s="22">
        <f t="shared" si="0"/>
        <v>1</v>
      </c>
    </row>
    <row r="7" spans="1:10" ht="72" x14ac:dyDescent="0.3">
      <c r="A7" s="83"/>
      <c r="B7" s="51" t="s">
        <v>42</v>
      </c>
      <c r="C7" s="62" t="s">
        <v>43</v>
      </c>
      <c r="D7" s="27" t="s">
        <v>44</v>
      </c>
      <c r="E7" s="53" t="s">
        <v>45</v>
      </c>
      <c r="F7" s="1">
        <v>0</v>
      </c>
      <c r="G7" s="1">
        <v>1</v>
      </c>
      <c r="H7" s="1">
        <v>0</v>
      </c>
      <c r="I7" s="1">
        <v>0</v>
      </c>
      <c r="J7" s="22">
        <f t="shared" si="0"/>
        <v>1</v>
      </c>
    </row>
    <row r="8" spans="1:10" ht="72" x14ac:dyDescent="0.3">
      <c r="A8" s="38" t="s">
        <v>6</v>
      </c>
      <c r="B8" s="39" t="s">
        <v>46</v>
      </c>
      <c r="C8" s="63" t="s">
        <v>47</v>
      </c>
      <c r="D8" s="33" t="s">
        <v>48</v>
      </c>
      <c r="E8" s="40" t="s">
        <v>49</v>
      </c>
      <c r="F8" s="1">
        <v>0</v>
      </c>
      <c r="G8" s="1">
        <v>0</v>
      </c>
      <c r="H8" s="1">
        <v>0</v>
      </c>
      <c r="I8" s="1">
        <v>0</v>
      </c>
      <c r="J8" s="22">
        <f t="shared" si="0"/>
        <v>0</v>
      </c>
    </row>
    <row r="9" spans="1:10" ht="43.2" x14ac:dyDescent="0.3">
      <c r="A9" s="71" t="s">
        <v>8</v>
      </c>
      <c r="B9" s="72" t="s">
        <v>50</v>
      </c>
      <c r="C9" s="73" t="s">
        <v>51</v>
      </c>
      <c r="D9" s="24" t="s">
        <v>52</v>
      </c>
      <c r="E9" s="25" t="s">
        <v>53</v>
      </c>
      <c r="F9" s="1">
        <v>0</v>
      </c>
      <c r="G9" s="1">
        <v>0</v>
      </c>
      <c r="H9" s="1">
        <v>0</v>
      </c>
      <c r="I9" s="1">
        <v>1</v>
      </c>
      <c r="J9" s="22">
        <f t="shared" si="0"/>
        <v>1</v>
      </c>
    </row>
    <row r="10" spans="1:10" ht="43.2" x14ac:dyDescent="0.3">
      <c r="A10" s="71"/>
      <c r="B10" s="72"/>
      <c r="C10" s="73"/>
      <c r="D10" s="24" t="s">
        <v>54</v>
      </c>
      <c r="E10" s="56" t="s">
        <v>55</v>
      </c>
      <c r="F10" s="1">
        <v>0</v>
      </c>
      <c r="G10" s="1">
        <v>0</v>
      </c>
      <c r="H10" s="1">
        <v>0</v>
      </c>
      <c r="I10" s="1">
        <v>0</v>
      </c>
      <c r="J10" s="22">
        <f t="shared" ref="J10:J12" si="1">SUM(F10:I10)</f>
        <v>0</v>
      </c>
    </row>
    <row r="11" spans="1:10" ht="86.4" x14ac:dyDescent="0.3">
      <c r="A11" s="34" t="s">
        <v>7</v>
      </c>
      <c r="B11" s="42" t="s">
        <v>56</v>
      </c>
      <c r="C11" s="64" t="s">
        <v>57</v>
      </c>
      <c r="D11" s="28" t="s">
        <v>58</v>
      </c>
      <c r="E11" s="29" t="s">
        <v>59</v>
      </c>
      <c r="F11" s="1">
        <v>0</v>
      </c>
      <c r="G11" s="1">
        <v>1</v>
      </c>
      <c r="H11" s="1">
        <v>0</v>
      </c>
      <c r="I11" s="1">
        <v>0</v>
      </c>
      <c r="J11" s="22">
        <f t="shared" si="1"/>
        <v>1</v>
      </c>
    </row>
    <row r="12" spans="1:10" ht="100.8" x14ac:dyDescent="0.3">
      <c r="A12" s="65" t="s">
        <v>5</v>
      </c>
      <c r="B12" s="66" t="s">
        <v>60</v>
      </c>
      <c r="C12" s="67" t="s">
        <v>61</v>
      </c>
      <c r="D12" s="68" t="s">
        <v>62</v>
      </c>
      <c r="E12" s="67" t="s">
        <v>63</v>
      </c>
      <c r="F12" s="22">
        <v>0</v>
      </c>
      <c r="G12" s="22">
        <v>0</v>
      </c>
      <c r="H12" s="22">
        <v>0</v>
      </c>
      <c r="I12" s="22">
        <v>0</v>
      </c>
      <c r="J12" s="22">
        <f t="shared" si="1"/>
        <v>0</v>
      </c>
    </row>
    <row r="13" spans="1:10" x14ac:dyDescent="0.3">
      <c r="F13" s="20">
        <f>SUM(F2:F12)</f>
        <v>2</v>
      </c>
      <c r="G13" s="20">
        <f t="shared" ref="G13:J13" si="2">SUM(G2:G12)</f>
        <v>2</v>
      </c>
      <c r="H13" s="20">
        <f t="shared" si="2"/>
        <v>2</v>
      </c>
      <c r="I13" s="20">
        <f t="shared" si="2"/>
        <v>2</v>
      </c>
      <c r="J13" s="20">
        <f t="shared" si="2"/>
        <v>8</v>
      </c>
    </row>
  </sheetData>
  <mergeCells count="9">
    <mergeCell ref="A9:A10"/>
    <mergeCell ref="B9:B10"/>
    <mergeCell ref="C9:C10"/>
    <mergeCell ref="A3:A4"/>
    <mergeCell ref="B3:B4"/>
    <mergeCell ref="C3:C4"/>
    <mergeCell ref="A5:A7"/>
    <mergeCell ref="B5:B6"/>
    <mergeCell ref="C5:C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F4C8-9624-438C-B491-8456BC6CFA74}">
  <dimension ref="A1:J11"/>
  <sheetViews>
    <sheetView zoomScale="91" workbookViewId="0">
      <selection activeCell="A4" sqref="A4:XFD4"/>
    </sheetView>
  </sheetViews>
  <sheetFormatPr baseColWidth="10" defaultColWidth="11.5546875" defaultRowHeight="14.4" x14ac:dyDescent="0.3"/>
  <cols>
    <col min="1" max="1" width="23.109375" style="20" customWidth="1"/>
    <col min="2" max="2" width="22.5546875" style="20" customWidth="1"/>
    <col min="3" max="3" width="46.33203125" style="20" bestFit="1" customWidth="1"/>
    <col min="4" max="4" width="35.6640625" style="20" customWidth="1"/>
    <col min="5" max="5" width="37.5546875" style="20" customWidth="1"/>
    <col min="6" max="6" width="11.5546875" style="20"/>
    <col min="7" max="7" width="12.88671875" style="20" bestFit="1" customWidth="1"/>
    <col min="8" max="8" width="11.5546875" style="20"/>
    <col min="9" max="9" width="14" style="20" bestFit="1" customWidth="1"/>
    <col min="10" max="16384" width="11.5546875" style="20"/>
  </cols>
  <sheetData>
    <row r="1" spans="1:10" x14ac:dyDescent="0.3">
      <c r="A1" s="80" t="s">
        <v>9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3">
      <c r="A2" s="80" t="s">
        <v>21</v>
      </c>
      <c r="B2" s="80"/>
      <c r="C2" s="80"/>
      <c r="D2" s="80"/>
      <c r="E2" s="80"/>
      <c r="F2" s="80"/>
      <c r="G2" s="80"/>
      <c r="H2" s="80"/>
      <c r="I2" s="80"/>
      <c r="J2" s="80"/>
    </row>
    <row r="3" spans="1:10" x14ac:dyDescent="0.3">
      <c r="A3" s="80" t="s">
        <v>64</v>
      </c>
      <c r="B3" s="80"/>
      <c r="C3" s="80"/>
      <c r="D3" s="80"/>
      <c r="E3" s="80"/>
      <c r="F3" s="80"/>
      <c r="G3" s="80"/>
      <c r="H3" s="80"/>
      <c r="I3" s="80"/>
      <c r="J3" s="80"/>
    </row>
    <row r="4" spans="1:10" x14ac:dyDescent="0.3">
      <c r="A4" s="18" t="s">
        <v>0</v>
      </c>
      <c r="B4" s="18" t="s">
        <v>66</v>
      </c>
      <c r="C4" s="18" t="s">
        <v>23</v>
      </c>
      <c r="D4" s="18" t="s">
        <v>24</v>
      </c>
      <c r="E4" s="18" t="s">
        <v>25</v>
      </c>
      <c r="F4" s="19" t="s">
        <v>11</v>
      </c>
      <c r="G4" s="19" t="s">
        <v>12</v>
      </c>
      <c r="H4" s="19" t="s">
        <v>13</v>
      </c>
      <c r="I4" s="19" t="s">
        <v>14</v>
      </c>
      <c r="J4" s="19" t="s">
        <v>65</v>
      </c>
    </row>
    <row r="5" spans="1:10" ht="57.6" x14ac:dyDescent="0.3">
      <c r="A5" s="47" t="s">
        <v>3</v>
      </c>
      <c r="B5" s="48" t="s">
        <v>26</v>
      </c>
      <c r="C5" s="49" t="s">
        <v>27</v>
      </c>
      <c r="D5" s="21" t="s">
        <v>28</v>
      </c>
      <c r="E5" s="23" t="s">
        <v>29</v>
      </c>
      <c r="F5" s="1">
        <v>1</v>
      </c>
      <c r="G5" s="1">
        <v>0</v>
      </c>
      <c r="H5" s="1">
        <v>0</v>
      </c>
      <c r="I5" s="1">
        <v>0</v>
      </c>
      <c r="J5" s="22">
        <f>SUM(F5:I5)</f>
        <v>1</v>
      </c>
    </row>
    <row r="6" spans="1:10" ht="72" x14ac:dyDescent="0.3">
      <c r="A6" s="44" t="s">
        <v>1</v>
      </c>
      <c r="B6" s="45" t="s">
        <v>30</v>
      </c>
      <c r="C6" s="46" t="s">
        <v>31</v>
      </c>
      <c r="D6" s="26" t="s">
        <v>32</v>
      </c>
      <c r="E6" s="30" t="s">
        <v>33</v>
      </c>
      <c r="F6" s="1">
        <v>1</v>
      </c>
      <c r="G6" s="1">
        <v>0</v>
      </c>
      <c r="H6" s="1">
        <v>1</v>
      </c>
      <c r="I6" s="1">
        <v>1</v>
      </c>
      <c r="J6" s="22">
        <f t="shared" ref="J6:J10" si="0">SUM(F6:I6)</f>
        <v>3</v>
      </c>
    </row>
    <row r="7" spans="1:10" ht="57.6" x14ac:dyDescent="0.3">
      <c r="A7" s="77" t="s">
        <v>4</v>
      </c>
      <c r="B7" s="57" t="s">
        <v>36</v>
      </c>
      <c r="C7" s="58" t="s">
        <v>37</v>
      </c>
      <c r="D7" s="31" t="s">
        <v>40</v>
      </c>
      <c r="E7" s="37" t="s">
        <v>41</v>
      </c>
      <c r="F7" s="1">
        <v>0</v>
      </c>
      <c r="G7" s="1">
        <v>0</v>
      </c>
      <c r="H7" s="1">
        <v>1</v>
      </c>
      <c r="I7" s="1">
        <v>0</v>
      </c>
      <c r="J7" s="22">
        <f t="shared" si="0"/>
        <v>1</v>
      </c>
    </row>
    <row r="8" spans="1:10" ht="72" x14ac:dyDescent="0.3">
      <c r="A8" s="77"/>
      <c r="B8" s="51" t="s">
        <v>42</v>
      </c>
      <c r="C8" s="52" t="s">
        <v>43</v>
      </c>
      <c r="D8" s="27" t="s">
        <v>44</v>
      </c>
      <c r="E8" s="53" t="s">
        <v>45</v>
      </c>
      <c r="F8" s="1">
        <v>0</v>
      </c>
      <c r="G8" s="1">
        <v>1</v>
      </c>
      <c r="H8" s="1">
        <v>0</v>
      </c>
      <c r="I8" s="1">
        <v>0</v>
      </c>
      <c r="J8" s="22">
        <f t="shared" si="0"/>
        <v>1</v>
      </c>
    </row>
    <row r="9" spans="1:10" ht="86.4" x14ac:dyDescent="0.3">
      <c r="A9" s="41" t="s">
        <v>8</v>
      </c>
      <c r="B9" s="54" t="s">
        <v>50</v>
      </c>
      <c r="C9" s="55" t="s">
        <v>51</v>
      </c>
      <c r="D9" s="24" t="s">
        <v>52</v>
      </c>
      <c r="E9" s="25" t="s">
        <v>53</v>
      </c>
      <c r="F9" s="1">
        <v>0</v>
      </c>
      <c r="G9" s="1">
        <v>0</v>
      </c>
      <c r="H9" s="1">
        <v>0</v>
      </c>
      <c r="I9" s="1">
        <v>1</v>
      </c>
      <c r="J9" s="22">
        <f t="shared" si="0"/>
        <v>1</v>
      </c>
    </row>
    <row r="10" spans="1:10" ht="86.4" x14ac:dyDescent="0.3">
      <c r="A10" s="34" t="s">
        <v>7</v>
      </c>
      <c r="B10" s="42" t="s">
        <v>56</v>
      </c>
      <c r="C10" s="43" t="s">
        <v>57</v>
      </c>
      <c r="D10" s="28" t="s">
        <v>58</v>
      </c>
      <c r="E10" s="29" t="s">
        <v>59</v>
      </c>
      <c r="F10" s="1">
        <v>0</v>
      </c>
      <c r="G10" s="1">
        <v>1</v>
      </c>
      <c r="H10" s="1">
        <v>0</v>
      </c>
      <c r="I10" s="1">
        <v>0</v>
      </c>
      <c r="J10" s="22">
        <f t="shared" si="0"/>
        <v>1</v>
      </c>
    </row>
    <row r="11" spans="1:10" x14ac:dyDescent="0.3">
      <c r="F11" s="20">
        <f>SUM(F5:F10)</f>
        <v>2</v>
      </c>
      <c r="G11" s="20">
        <f>SUM(G5:G10)</f>
        <v>2</v>
      </c>
      <c r="H11" s="20">
        <f>SUM(H5:H10)</f>
        <v>2</v>
      </c>
      <c r="I11" s="20">
        <f>SUM(I5:I10)</f>
        <v>2</v>
      </c>
      <c r="J11" s="20">
        <f>SUM(J5:J10)</f>
        <v>8</v>
      </c>
    </row>
  </sheetData>
  <mergeCells count="4">
    <mergeCell ref="A7:A8"/>
    <mergeCell ref="A1:J1"/>
    <mergeCell ref="A2:J2"/>
    <mergeCell ref="A3:J3"/>
  </mergeCells>
  <hyperlinks>
    <hyperlink ref="A1:E1" location="'Trade-off'!A1" display="&lt;&lt;&lt; Trade-off" xr:uid="{FF628F7C-F1A3-4A13-9C77-E77685C5A233}"/>
    <hyperlink ref="A2:E2" location="'Mapa de Empatía'!A1" display="&lt;&lt;&lt; Mapa de Empatía" xr:uid="{D43E0EB1-50AD-436A-9095-1FAEAD0AFD7D}"/>
    <hyperlink ref="A3:E3" location="'Listado de Características'!A1" display="&lt;&lt;&lt; Listado de Características" xr:uid="{8452D355-B7F2-44D1-B067-60612270A29E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8AA9-37B9-47C4-8B37-AB6328FBDF72}">
  <dimension ref="A1:J7"/>
  <sheetViews>
    <sheetView tabSelected="1" zoomScale="91" workbookViewId="0">
      <selection activeCell="G4" sqref="G4"/>
    </sheetView>
  </sheetViews>
  <sheetFormatPr baseColWidth="10" defaultColWidth="11.5546875" defaultRowHeight="14.4" x14ac:dyDescent="0.3"/>
  <cols>
    <col min="1" max="1" width="23.109375" style="20" customWidth="1"/>
    <col min="2" max="2" width="22.5546875" style="20" customWidth="1"/>
    <col min="3" max="3" width="46.33203125" style="20" bestFit="1" customWidth="1"/>
    <col min="4" max="4" width="35.6640625" style="20" customWidth="1"/>
    <col min="5" max="5" width="37.5546875" style="20" customWidth="1"/>
    <col min="6" max="6" width="11.5546875" style="20"/>
    <col min="7" max="7" width="12.88671875" style="20" bestFit="1" customWidth="1"/>
    <col min="8" max="8" width="11.5546875" style="20"/>
    <col min="9" max="9" width="14" style="20" bestFit="1" customWidth="1"/>
    <col min="10" max="16384" width="11.5546875" style="20"/>
  </cols>
  <sheetData>
    <row r="1" spans="1:10" x14ac:dyDescent="0.3">
      <c r="A1" s="18" t="s">
        <v>0</v>
      </c>
      <c r="B1" s="18" t="s">
        <v>66</v>
      </c>
      <c r="C1" s="18" t="s">
        <v>23</v>
      </c>
      <c r="D1" s="18" t="s">
        <v>24</v>
      </c>
      <c r="E1" s="18" t="s">
        <v>25</v>
      </c>
      <c r="F1" s="36"/>
      <c r="G1" s="36"/>
      <c r="H1" s="36"/>
      <c r="I1" s="36"/>
      <c r="J1" s="36"/>
    </row>
    <row r="2" spans="1:10" ht="57.6" x14ac:dyDescent="0.3">
      <c r="A2" s="47" t="s">
        <v>3</v>
      </c>
      <c r="B2" s="48" t="s">
        <v>26</v>
      </c>
      <c r="C2" s="49" t="s">
        <v>27</v>
      </c>
      <c r="D2" s="21" t="s">
        <v>28</v>
      </c>
      <c r="E2" s="23" t="s">
        <v>29</v>
      </c>
      <c r="F2" s="59"/>
      <c r="G2" s="59"/>
      <c r="H2" s="59"/>
      <c r="I2" s="59"/>
    </row>
    <row r="3" spans="1:10" ht="72" x14ac:dyDescent="0.3">
      <c r="A3" s="44" t="s">
        <v>1</v>
      </c>
      <c r="B3" s="45" t="s">
        <v>30</v>
      </c>
      <c r="C3" s="46" t="s">
        <v>31</v>
      </c>
      <c r="D3" s="26" t="s">
        <v>32</v>
      </c>
      <c r="E3" s="30" t="s">
        <v>33</v>
      </c>
      <c r="F3" s="59"/>
      <c r="G3" s="59"/>
      <c r="H3" s="59"/>
      <c r="I3" s="59"/>
    </row>
    <row r="4" spans="1:10" ht="57.6" x14ac:dyDescent="0.3">
      <c r="A4" s="77" t="s">
        <v>4</v>
      </c>
      <c r="B4" s="57" t="s">
        <v>36</v>
      </c>
      <c r="C4" s="58" t="s">
        <v>37</v>
      </c>
      <c r="D4" s="31" t="s">
        <v>40</v>
      </c>
      <c r="E4" s="37" t="s">
        <v>41</v>
      </c>
      <c r="F4" s="59"/>
      <c r="G4" s="59"/>
      <c r="H4" s="59"/>
      <c r="I4" s="59"/>
    </row>
    <row r="5" spans="1:10" ht="72" x14ac:dyDescent="0.3">
      <c r="A5" s="77"/>
      <c r="B5" s="51" t="s">
        <v>42</v>
      </c>
      <c r="C5" s="52" t="s">
        <v>43</v>
      </c>
      <c r="D5" s="27" t="s">
        <v>44</v>
      </c>
      <c r="E5" s="53" t="s">
        <v>45</v>
      </c>
      <c r="F5" s="59"/>
      <c r="G5" s="59"/>
      <c r="H5" s="59"/>
      <c r="I5" s="59"/>
    </row>
    <row r="6" spans="1:10" ht="86.4" x14ac:dyDescent="0.3">
      <c r="A6" s="41" t="s">
        <v>8</v>
      </c>
      <c r="B6" s="54" t="s">
        <v>50</v>
      </c>
      <c r="C6" s="55" t="s">
        <v>51</v>
      </c>
      <c r="D6" s="24" t="s">
        <v>52</v>
      </c>
      <c r="E6" s="25" t="s">
        <v>53</v>
      </c>
      <c r="F6" s="59"/>
      <c r="G6" s="59"/>
      <c r="H6" s="59"/>
      <c r="I6" s="59"/>
    </row>
    <row r="7" spans="1:10" ht="86.4" x14ac:dyDescent="0.3">
      <c r="A7" s="34" t="s">
        <v>7</v>
      </c>
      <c r="B7" s="42" t="s">
        <v>56</v>
      </c>
      <c r="C7" s="43" t="s">
        <v>57</v>
      </c>
      <c r="D7" s="28" t="s">
        <v>58</v>
      </c>
      <c r="E7" s="29" t="s">
        <v>59</v>
      </c>
      <c r="F7" s="59"/>
      <c r="G7" s="59"/>
      <c r="H7" s="59"/>
      <c r="I7" s="59"/>
    </row>
  </sheetData>
  <mergeCells count="1">
    <mergeCell ref="A4:A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D5A6B7ABB31941939C7D68E3C79876" ma:contentTypeVersion="3" ma:contentTypeDescription="Crear nuevo documento." ma:contentTypeScope="" ma:versionID="b43a38ebf838e352443ce4cae65abf66">
  <xsd:schema xmlns:xsd="http://www.w3.org/2001/XMLSchema" xmlns:xs="http://www.w3.org/2001/XMLSchema" xmlns:p="http://schemas.microsoft.com/office/2006/metadata/properties" xmlns:ns2="339bf383-e682-4225-adad-3d36f489e1ba" targetNamespace="http://schemas.microsoft.com/office/2006/metadata/properties" ma:root="true" ma:fieldsID="385c91190b1e33883e7f3a9c2471e62c" ns2:_="">
    <xsd:import namespace="339bf383-e682-4225-adad-3d36f489e1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bf383-e682-4225-adad-3d36f489e1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0A1574-B51E-4A22-A474-A8EADDC5A0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277EFC-AE90-4C81-B02A-C1059E6C3D3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33165C9-FC46-476F-8DC3-22816597FA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9bf383-e682-4225-adad-3d36f489e1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Trade-off</vt:lpstr>
      <vt:lpstr>Mapa de Empatía</vt:lpstr>
      <vt:lpstr>Listado de Características</vt:lpstr>
      <vt:lpstr>Primera Ronda</vt:lpstr>
      <vt:lpstr>Segunda Ronda</vt:lpstr>
      <vt:lpstr>Prioritarios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juliana</dc:creator>
  <cp:keywords/>
  <dc:description/>
  <cp:lastModifiedBy>Jorge García E</cp:lastModifiedBy>
  <cp:revision/>
  <dcterms:created xsi:type="dcterms:W3CDTF">2026-03-04T23:33:52Z</dcterms:created>
  <dcterms:modified xsi:type="dcterms:W3CDTF">2026-05-20T19:50:45Z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0x010100CDD5A6B7ABB31941939C7D68E3C79876</vt:lpwstr>
  </property>
</Properties>
</file>